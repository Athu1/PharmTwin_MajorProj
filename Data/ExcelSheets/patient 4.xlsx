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O16" i="1"/>
  <c r="M16" i="1"/>
  <c r="J16" i="1"/>
</calcChain>
</file>

<file path=xl/sharedStrings.xml><?xml version="1.0" encoding="utf-8"?>
<sst xmlns="http://schemas.openxmlformats.org/spreadsheetml/2006/main" count="148" uniqueCount="77">
  <si>
    <t>Customer wise sales Report                 &lt;CTRL + F5&gt; Set Order            &lt;END&gt; SEARCH</t>
  </si>
  <si>
    <t>A K DEVI SECTOR 2, NERUL from 01/04/2026 to 12/08/2026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</si>
  <si>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</si>
  <si>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</si>
  <si>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</si>
  <si>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</si>
  <si>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</si>
  <si>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</si>
  <si>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</si>
  <si>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</si>
  <si>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</si>
  <si>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</si>
  <si>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</si>
  <si>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</si>
  <si>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</si>
  <si>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</si>
  <si>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</si>
  <si>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</si>
  <si>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</si>
  <si>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</si>
  <si>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</si>
  <si>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</si>
  <si>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</si>
  <si>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</si>
  <si>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</si>
  <si>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</si>
  <si>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</si>
  <si>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CYCLOPAM                      </t>
  </si>
  <si>
    <t xml:space="preserve">TAB   </t>
  </si>
  <si>
    <t xml:space="preserve">IRL  </t>
  </si>
  <si>
    <t xml:space="preserve">DR. S. DALVI (M.D.)                     </t>
  </si>
  <si>
    <t xml:space="preserve">MUMBAI                                                      </t>
  </si>
  <si>
    <t xml:space="preserve">A K DEVI                                                    </t>
  </si>
  <si>
    <t xml:space="preserve">SECTOR 2, NERUL                                             </t>
  </si>
  <si>
    <t xml:space="preserve">          </t>
  </si>
  <si>
    <t xml:space="preserve">25070160       </t>
  </si>
  <si>
    <t>08/26</t>
  </si>
  <si>
    <t xml:space="preserve">PRED FORTE EYE DROPS          </t>
  </si>
  <si>
    <t xml:space="preserve">10 ML </t>
  </si>
  <si>
    <t xml:space="preserve">AIN  </t>
  </si>
  <si>
    <t xml:space="preserve">115074         </t>
  </si>
  <si>
    <t>07/26</t>
  </si>
  <si>
    <t xml:space="preserve">FLORA BC                      </t>
  </si>
  <si>
    <t xml:space="preserve">CAP   </t>
  </si>
  <si>
    <t xml:space="preserve">     </t>
  </si>
  <si>
    <t xml:space="preserve">E7AHY007       </t>
  </si>
  <si>
    <t>04/27</t>
  </si>
  <si>
    <t xml:space="preserve">R.B.TONE CAP                  </t>
  </si>
  <si>
    <t>15 CAP</t>
  </si>
  <si>
    <t xml:space="preserve">E51284         </t>
  </si>
  <si>
    <t>09/27</t>
  </si>
  <si>
    <t xml:space="preserve">RESPITREE 6X SYP 100ML 100ML  </t>
  </si>
  <si>
    <t xml:space="preserve">100ML </t>
  </si>
  <si>
    <t xml:space="preserve">MOO  </t>
  </si>
  <si>
    <t xml:space="preserve">AXL-190        </t>
  </si>
  <si>
    <t>06/27</t>
  </si>
  <si>
    <t xml:space="preserve">LOBATE GM NEO (10GM)          </t>
  </si>
  <si>
    <t xml:space="preserve">10 GM </t>
  </si>
  <si>
    <t xml:space="preserve">NF035          </t>
  </si>
  <si>
    <t>05/27</t>
  </si>
  <si>
    <t xml:space="preserve">GABANEURON NT 300MG 15T       </t>
  </si>
  <si>
    <t xml:space="preserve">15TAB </t>
  </si>
  <si>
    <t xml:space="preserve">2410061AR      </t>
  </si>
  <si>
    <t>08/27</t>
  </si>
  <si>
    <t xml:space="preserve">SCALPE(+) SHAMPOO             </t>
  </si>
  <si>
    <t xml:space="preserve">75ML  </t>
  </si>
  <si>
    <t xml:space="preserve">3A250026       </t>
  </si>
  <si>
    <t xml:space="preserve">SCALP VEN SET NO 22           </t>
  </si>
  <si>
    <t xml:space="preserve">UNIT  </t>
  </si>
  <si>
    <t xml:space="preserve">TOP  </t>
  </si>
  <si>
    <t xml:space="preserve">4B13S          </t>
  </si>
  <si>
    <t>01/29</t>
  </si>
  <si>
    <t xml:space="preserve">1 AL                          </t>
  </si>
  <si>
    <t xml:space="preserve">FDC  </t>
  </si>
  <si>
    <t xml:space="preserve">075H032        </t>
  </si>
  <si>
    <t>07/27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</si>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</sst>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showZeros="0" tabSelected="1" workbookViewId="0">
      <selection activeCell="K22" sqref="K22"/>
    </sheetView>
  </sheetViews>
  <sheetFormatPr defaultRowHeight="15" x14ac:dyDescent="0.25"/>
  <cols>
    <col min="1" max="1" width="8.28515625" bestFit="1" customWidth="1"/>
    <col min="2" max="2" width="10.42578125" bestFit="1" customWidth="1"/>
    <col min="3" max="3" width="10.140625" bestFit="1" customWidth="1"/>
    <col min="4" max="4" width="30.140625" bestFit="1" customWidth="1"/>
    <col min="5" max="5" width="4.7109375" bestFit="1" customWidth="1"/>
    <col min="6" max="6" width="7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27.28515625" bestFit="1" customWidth="1"/>
    <col min="12" max="12" width="32.5703125" bestFit="1" customWidth="1"/>
    <col min="13" max="13" width="31.42578125" bestFit="1" customWidth="1"/>
    <col min="14" max="14" width="36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3.140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70</v>
      </c>
      <c r="B4" s="1" t="s">
        <v>26</v>
      </c>
      <c r="C4" s="2">
        <v>46115</v>
      </c>
      <c r="D4" s="1" t="s">
        <v>27</v>
      </c>
      <c r="E4">
        <v>10</v>
      </c>
      <c r="F4" s="1" t="s">
        <v>28</v>
      </c>
      <c r="G4" s="1" t="s">
        <v>29</v>
      </c>
      <c r="H4">
        <v>10</v>
      </c>
      <c r="I4">
        <v>59.44</v>
      </c>
      <c r="J4">
        <v>59.44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56.61</v>
      </c>
      <c r="Q4">
        <v>2.5</v>
      </c>
      <c r="R4">
        <v>1.415</v>
      </c>
      <c r="S4">
        <v>2.5</v>
      </c>
      <c r="T4">
        <v>1.415</v>
      </c>
      <c r="U4">
        <v>40.36</v>
      </c>
      <c r="V4">
        <v>0</v>
      </c>
      <c r="W4" s="1" t="s">
        <v>35</v>
      </c>
      <c r="X4" s="1" t="s">
        <v>36</v>
      </c>
    </row>
    <row r="5" spans="1:24" x14ac:dyDescent="0.25">
      <c r="A5">
        <v>70</v>
      </c>
      <c r="B5" s="1" t="s">
        <v>26</v>
      </c>
      <c r="C5" s="2">
        <v>46115</v>
      </c>
      <c r="D5" s="1" t="s">
        <v>37</v>
      </c>
      <c r="E5">
        <v>1</v>
      </c>
      <c r="F5" s="1" t="s">
        <v>38</v>
      </c>
      <c r="G5" s="1" t="s">
        <v>39</v>
      </c>
      <c r="H5">
        <v>1</v>
      </c>
      <c r="I5">
        <v>60.48</v>
      </c>
      <c r="J5">
        <v>60.48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57.6</v>
      </c>
      <c r="Q5">
        <v>2.5</v>
      </c>
      <c r="R5">
        <v>1.44</v>
      </c>
      <c r="S5">
        <v>2.5</v>
      </c>
      <c r="T5">
        <v>1.44</v>
      </c>
      <c r="U5">
        <v>53.94</v>
      </c>
      <c r="V5">
        <v>0</v>
      </c>
      <c r="W5" s="1" t="s">
        <v>40</v>
      </c>
      <c r="X5" s="1" t="s">
        <v>41</v>
      </c>
    </row>
    <row r="6" spans="1:24" x14ac:dyDescent="0.25">
      <c r="A6">
        <v>70</v>
      </c>
      <c r="B6" s="1" t="s">
        <v>26</v>
      </c>
      <c r="C6" s="2">
        <v>46115</v>
      </c>
      <c r="D6" s="1" t="s">
        <v>42</v>
      </c>
      <c r="E6">
        <v>10</v>
      </c>
      <c r="F6" s="1" t="s">
        <v>43</v>
      </c>
      <c r="G6" s="1" t="s">
        <v>44</v>
      </c>
      <c r="H6">
        <v>10</v>
      </c>
      <c r="I6">
        <v>50.19</v>
      </c>
      <c r="J6">
        <v>50.19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47.8</v>
      </c>
      <c r="Q6">
        <v>2.5</v>
      </c>
      <c r="R6">
        <v>1.1950000000000001</v>
      </c>
      <c r="S6">
        <v>2.5</v>
      </c>
      <c r="T6">
        <v>1.1950000000000001</v>
      </c>
      <c r="U6">
        <v>35.700000000000003</v>
      </c>
      <c r="V6">
        <v>0</v>
      </c>
      <c r="W6" s="1" t="s">
        <v>45</v>
      </c>
      <c r="X6" s="1" t="s">
        <v>46</v>
      </c>
    </row>
    <row r="7" spans="1:24" x14ac:dyDescent="0.25">
      <c r="A7">
        <v>70</v>
      </c>
      <c r="B7" s="1" t="s">
        <v>26</v>
      </c>
      <c r="C7" s="2">
        <v>46115</v>
      </c>
      <c r="D7" s="1" t="s">
        <v>47</v>
      </c>
      <c r="E7">
        <v>1</v>
      </c>
      <c r="F7" s="1" t="s">
        <v>48</v>
      </c>
      <c r="G7" s="1" t="s">
        <v>44</v>
      </c>
      <c r="H7">
        <v>1</v>
      </c>
      <c r="I7">
        <v>105</v>
      </c>
      <c r="J7">
        <v>105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100</v>
      </c>
      <c r="Q7">
        <v>2.5</v>
      </c>
      <c r="R7">
        <v>2.5</v>
      </c>
      <c r="S7">
        <v>2.5</v>
      </c>
      <c r="T7">
        <v>2.5</v>
      </c>
      <c r="U7">
        <v>75.37</v>
      </c>
      <c r="V7">
        <v>0</v>
      </c>
      <c r="W7" s="1" t="s">
        <v>49</v>
      </c>
      <c r="X7" s="1" t="s">
        <v>50</v>
      </c>
    </row>
    <row r="8" spans="1:24" x14ac:dyDescent="0.25">
      <c r="A8">
        <v>70</v>
      </c>
      <c r="B8" s="1" t="s">
        <v>26</v>
      </c>
      <c r="C8" s="2">
        <v>46115</v>
      </c>
      <c r="D8" s="1" t="s">
        <v>51</v>
      </c>
      <c r="E8">
        <v>1</v>
      </c>
      <c r="F8" s="1" t="s">
        <v>52</v>
      </c>
      <c r="G8" s="1" t="s">
        <v>53</v>
      </c>
      <c r="H8">
        <v>1</v>
      </c>
      <c r="I8">
        <v>126.56</v>
      </c>
      <c r="J8">
        <v>126.56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113</v>
      </c>
      <c r="Q8">
        <v>6</v>
      </c>
      <c r="R8">
        <v>6.78</v>
      </c>
      <c r="S8">
        <v>6</v>
      </c>
      <c r="T8">
        <v>6.78</v>
      </c>
      <c r="U8">
        <v>47.07</v>
      </c>
      <c r="V8">
        <v>0</v>
      </c>
      <c r="W8" s="1" t="s">
        <v>54</v>
      </c>
      <c r="X8" s="1" t="s">
        <v>55</v>
      </c>
    </row>
    <row r="9" spans="1:24" x14ac:dyDescent="0.25">
      <c r="A9">
        <v>70</v>
      </c>
      <c r="B9" s="1" t="s">
        <v>26</v>
      </c>
      <c r="C9" s="2">
        <v>46115</v>
      </c>
      <c r="D9" s="1" t="s">
        <v>56</v>
      </c>
      <c r="E9">
        <v>1</v>
      </c>
      <c r="F9" s="1" t="s">
        <v>57</v>
      </c>
      <c r="G9" s="1" t="s">
        <v>44</v>
      </c>
      <c r="H9">
        <v>1</v>
      </c>
      <c r="I9">
        <v>87.11</v>
      </c>
      <c r="J9">
        <v>87.11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82.96</v>
      </c>
      <c r="Q9">
        <v>2.5</v>
      </c>
      <c r="R9">
        <v>2.0739999999999998</v>
      </c>
      <c r="S9">
        <v>2.5</v>
      </c>
      <c r="T9">
        <v>2.0739999999999998</v>
      </c>
      <c r="U9">
        <v>68.290000000000006</v>
      </c>
      <c r="V9">
        <v>0</v>
      </c>
      <c r="W9" s="1" t="s">
        <v>58</v>
      </c>
      <c r="X9" s="1" t="s">
        <v>59</v>
      </c>
    </row>
    <row r="10" spans="1:24" x14ac:dyDescent="0.25">
      <c r="A10">
        <v>70</v>
      </c>
      <c r="B10" s="1" t="s">
        <v>26</v>
      </c>
      <c r="C10" s="2">
        <v>46115</v>
      </c>
      <c r="D10" s="1" t="s">
        <v>60</v>
      </c>
      <c r="E10">
        <v>1</v>
      </c>
      <c r="F10" s="1" t="s">
        <v>61</v>
      </c>
      <c r="G10" s="1" t="s">
        <v>44</v>
      </c>
      <c r="H10">
        <v>1</v>
      </c>
      <c r="I10">
        <v>351.56</v>
      </c>
      <c r="J10">
        <v>351.56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334.82</v>
      </c>
      <c r="Q10">
        <v>2.5</v>
      </c>
      <c r="R10">
        <v>8.3710000000000004</v>
      </c>
      <c r="S10">
        <v>2.5</v>
      </c>
      <c r="T10">
        <v>8.3710000000000004</v>
      </c>
      <c r="U10">
        <v>272.82</v>
      </c>
      <c r="V10">
        <v>0</v>
      </c>
      <c r="W10" s="1" t="s">
        <v>62</v>
      </c>
      <c r="X10" s="1" t="s">
        <v>63</v>
      </c>
    </row>
    <row r="11" spans="1:24" x14ac:dyDescent="0.25">
      <c r="A11">
        <v>828</v>
      </c>
      <c r="B11" s="1" t="s">
        <v>26</v>
      </c>
      <c r="C11" s="2">
        <v>46158</v>
      </c>
      <c r="D11" s="1" t="s">
        <v>64</v>
      </c>
      <c r="E11">
        <v>1</v>
      </c>
      <c r="F11" s="1" t="s">
        <v>65</v>
      </c>
      <c r="G11" s="1" t="s">
        <v>44</v>
      </c>
      <c r="H11">
        <v>1</v>
      </c>
      <c r="I11">
        <v>330.94</v>
      </c>
      <c r="J11">
        <v>330.94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315.18</v>
      </c>
      <c r="Q11">
        <v>2.5</v>
      </c>
      <c r="R11">
        <v>7.88</v>
      </c>
      <c r="S11">
        <v>2.5</v>
      </c>
      <c r="T11">
        <v>7.88</v>
      </c>
      <c r="U11">
        <v>227.03</v>
      </c>
      <c r="V11">
        <v>0</v>
      </c>
      <c r="W11" s="1" t="s">
        <v>66</v>
      </c>
      <c r="X11" s="1" t="s">
        <v>63</v>
      </c>
    </row>
    <row r="12" spans="1:24" x14ac:dyDescent="0.25">
      <c r="A12">
        <v>828</v>
      </c>
      <c r="B12" s="1" t="s">
        <v>26</v>
      </c>
      <c r="C12" s="2">
        <v>46158</v>
      </c>
      <c r="D12" s="1" t="s">
        <v>67</v>
      </c>
      <c r="E12">
        <v>1</v>
      </c>
      <c r="F12" s="1" t="s">
        <v>68</v>
      </c>
      <c r="G12" s="1" t="s">
        <v>69</v>
      </c>
      <c r="H12">
        <v>1</v>
      </c>
      <c r="I12">
        <v>43.13</v>
      </c>
      <c r="J12">
        <v>43.13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41.08</v>
      </c>
      <c r="Q12">
        <v>2.5</v>
      </c>
      <c r="R12">
        <v>1.0269999999999999</v>
      </c>
      <c r="S12">
        <v>2.5</v>
      </c>
      <c r="T12">
        <v>1.0269999999999999</v>
      </c>
      <c r="U12">
        <v>23.52</v>
      </c>
      <c r="V12">
        <v>0</v>
      </c>
      <c r="W12" s="1" t="s">
        <v>70</v>
      </c>
      <c r="X12" s="1" t="s">
        <v>71</v>
      </c>
    </row>
    <row r="13" spans="1:24" x14ac:dyDescent="0.25">
      <c r="A13">
        <v>828</v>
      </c>
      <c r="B13" s="1" t="s">
        <v>26</v>
      </c>
      <c r="C13" s="2">
        <v>46158</v>
      </c>
      <c r="D13" s="1" t="s">
        <v>72</v>
      </c>
      <c r="E13">
        <v>10</v>
      </c>
      <c r="F13" s="1" t="s">
        <v>28</v>
      </c>
      <c r="G13" s="1" t="s">
        <v>73</v>
      </c>
      <c r="H13">
        <v>10</v>
      </c>
      <c r="I13">
        <v>35.72</v>
      </c>
      <c r="J13">
        <v>35.72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34.020000000000003</v>
      </c>
      <c r="Q13">
        <v>2.5</v>
      </c>
      <c r="R13">
        <v>0.85099999999999998</v>
      </c>
      <c r="S13">
        <v>2.5</v>
      </c>
      <c r="T13">
        <v>0.85099999999999998</v>
      </c>
      <c r="U13">
        <v>27.72</v>
      </c>
      <c r="V13">
        <v>0</v>
      </c>
      <c r="W13" s="1" t="s">
        <v>74</v>
      </c>
      <c r="X13" s="1" t="s">
        <v>75</v>
      </c>
    </row>
    <row r="14" spans="1:24" x14ac:dyDescent="0.25">
      <c r="A14">
        <v>828</v>
      </c>
      <c r="B14" s="1" t="s">
        <v>26</v>
      </c>
      <c r="C14" s="2">
        <v>46158</v>
      </c>
      <c r="D14" s="1" t="s">
        <v>72</v>
      </c>
      <c r="E14">
        <v>10</v>
      </c>
      <c r="F14" s="1" t="s">
        <v>28</v>
      </c>
      <c r="G14" s="1" t="s">
        <v>73</v>
      </c>
      <c r="H14">
        <v>30</v>
      </c>
      <c r="I14">
        <v>35.72</v>
      </c>
      <c r="J14">
        <v>107.16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102.06</v>
      </c>
      <c r="Q14">
        <v>2.5</v>
      </c>
      <c r="R14">
        <v>2.5510000000000002</v>
      </c>
      <c r="S14">
        <v>2.5</v>
      </c>
      <c r="T14">
        <v>2.5510000000000002</v>
      </c>
      <c r="U14">
        <v>83.16</v>
      </c>
      <c r="V14">
        <v>0</v>
      </c>
      <c r="W14" s="1" t="s">
        <v>74</v>
      </c>
      <c r="X14" s="1" t="s">
        <v>75</v>
      </c>
    </row>
    <row r="16" spans="1:24" x14ac:dyDescent="0.25">
      <c r="I16" t="s">
        <v>76</v>
      </c>
      <c r="J16">
        <f>SUM(J4:J14)</f>
        <v>1357.2900000000002</v>
      </c>
      <c r="M16">
        <f>SUM(M4:M14)</f>
        <v>0</v>
      </c>
      <c r="O16">
        <f>SUM(O4:O14)</f>
        <v>0</v>
      </c>
      <c r="Q16">
        <f>SUM(Q4:Q14)</f>
        <v>31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2026-08-12T09:03:18Z</dcterms:created>
  <dcterms:modified xsi:type="dcterms:W3CDTF">2026-08-12T09:03:45Z</dcterms:modified>
</cp:coreProperties>
</file>