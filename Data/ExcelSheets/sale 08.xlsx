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" i="1" l="1"/>
  <c r="O11" i="1"/>
  <c r="M11" i="1"/>
  <c r="J11" i="1"/>
</calcChain>
</file>

<file path=xl/sharedStrings.xml><?xml version="1.0" encoding="utf-8"?>
<sst xmlns="http://schemas.openxmlformats.org/spreadsheetml/2006/main" count="93" uniqueCount="56">
  <si>
    <t>Customer wise sales Report                 &lt;CTRL + F5&gt; Set Order            &lt;END&gt; SEARCH</t>
  </si>
  <si>
    <t>A.K. DEVI NERUL from 01/04/2026 to 21/09/2026</t>
  </si>
  <si>
    <t>Vou.No.</t>
  </si>
  <si>
    <t>Type</t>
  </si>
  <si>
    <t>Date</t>
  </si>
  <si>
    <t>Product</t>
  </si>
  <si>
    <t>Unit</t>
  </si>
  <si>
    <t>Pack</t>
  </si>
  <si>
    <t>Comp.</t>
  </si>
  <si>
    <t>Qty.</t>
  </si>
  <si>
    <t>Rate</t>
  </si>
  <si>
    <t>Amount</t>
  </si>
  <si>
    <t>Doct Name</t>
  </si>
  <si>
    <t>Doct Add</t>
  </si>
  <si>
    <t>Pat Name</t>
  </si>
  <si>
    <t>Pat Add</t>
  </si>
  <si>
    <t>Mobile</t>
  </si>
  <si>
    <t>Taxable Amt</t>
  </si>
  <si>
    <t>Sgst%</t>
  </si>
  <si>
    <t>Sgstamt</t>
  </si>
  <si>
    <t>Cgst %</t>
  </si>
  <si>
    <t>Cgstamt</t>
  </si>
  <si>
    <t>NP Rate</t>
  </si>
  <si>
    <t>Pr</t>
  </si>
  <si>
    <t>Batch</t>
  </si>
  <si>
    <t>Expiry</t>
  </si>
  <si>
    <t xml:space="preserve">CASH           </t>
  </si>
  <si>
    <t xml:space="preserve">STERGIMOX 500 MG              </t>
  </si>
  <si>
    <t xml:space="preserve">10    </t>
  </si>
  <si>
    <t xml:space="preserve">STS  </t>
  </si>
  <si>
    <t xml:space="preserve">DR. S. DALVI (M.D.)                     </t>
  </si>
  <si>
    <t xml:space="preserve">MUMBAI                                                      </t>
  </si>
  <si>
    <t xml:space="preserve">A.K. DEVI                                                   </t>
  </si>
  <si>
    <t xml:space="preserve">NERUL                                                       </t>
  </si>
  <si>
    <t xml:space="preserve">          </t>
  </si>
  <si>
    <t xml:space="preserve">24BC037        </t>
  </si>
  <si>
    <t>10/26</t>
  </si>
  <si>
    <t xml:space="preserve">VERTIN 8 TAB                  </t>
  </si>
  <si>
    <t xml:space="preserve">15`S  </t>
  </si>
  <si>
    <t xml:space="preserve">ABB  </t>
  </si>
  <si>
    <t xml:space="preserve">VEA26001       </t>
  </si>
  <si>
    <t>12/28</t>
  </si>
  <si>
    <t xml:space="preserve">CLINDINOL-TM TABLET 10TAB     </t>
  </si>
  <si>
    <t xml:space="preserve">10TAB </t>
  </si>
  <si>
    <t xml:space="preserve">KNO  </t>
  </si>
  <si>
    <t xml:space="preserve">LGP09/140/21   </t>
  </si>
  <si>
    <t>08/27</t>
  </si>
  <si>
    <t xml:space="preserve">RECOFAST SYRUP                </t>
  </si>
  <si>
    <t xml:space="preserve">60 ML </t>
  </si>
  <si>
    <t xml:space="preserve">SHR  </t>
  </si>
  <si>
    <t xml:space="preserve">R24018107      </t>
  </si>
  <si>
    <t xml:space="preserve">R24018108      </t>
  </si>
  <si>
    <t>11/26</t>
  </si>
  <si>
    <t xml:space="preserve">R25018104      </t>
  </si>
  <si>
    <t>03/27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</si>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</sst>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showZeros="0" tabSelected="1" workbookViewId="0"/>
  </sheetViews>
  <sheetFormatPr defaultRowHeight="15" x14ac:dyDescent="0.25"/>
  <cols>
    <col min="1" max="1" width="8.28515625" bestFit="1" customWidth="1"/>
    <col min="2" max="2" width="10.42578125" bestFit="1" customWidth="1"/>
    <col min="3" max="3" width="9.42578125" bestFit="1" customWidth="1"/>
    <col min="4" max="4" width="29.28515625" bestFit="1" customWidth="1"/>
    <col min="5" max="5" width="4.7109375" bestFit="1" customWidth="1"/>
    <col min="6" max="6" width="6.85546875" bestFit="1" customWidth="1"/>
    <col min="7" max="7" width="6.7109375" bestFit="1" customWidth="1"/>
    <col min="8" max="8" width="4.7109375" bestFit="1" customWidth="1"/>
    <col min="9" max="9" width="7" bestFit="1" customWidth="1"/>
    <col min="10" max="10" width="8.140625" bestFit="1" customWidth="1"/>
    <col min="11" max="11" width="27.28515625" bestFit="1" customWidth="1"/>
    <col min="12" max="12" width="32.5703125" bestFit="1" customWidth="1"/>
    <col min="13" max="13" width="31.7109375" bestFit="1" customWidth="1"/>
    <col min="14" max="14" width="31" bestFit="1" customWidth="1"/>
    <col min="15" max="15" width="7.28515625" bestFit="1" customWidth="1"/>
    <col min="16" max="16" width="12" bestFit="1" customWidth="1"/>
    <col min="17" max="17" width="6.140625" bestFit="1" customWidth="1"/>
    <col min="18" max="18" width="8" bestFit="1" customWidth="1"/>
    <col min="19" max="19" width="6.7109375" bestFit="1" customWidth="1"/>
    <col min="20" max="20" width="8.140625" bestFit="1" customWidth="1"/>
    <col min="21" max="21" width="8" bestFit="1" customWidth="1"/>
    <col min="22" max="22" width="2.85546875" bestFit="1" customWidth="1"/>
    <col min="23" max="23" width="14.42578125" bestFit="1" customWidth="1"/>
    <col min="24" max="24" width="6.42578125" bestFit="1" customWidth="1"/>
  </cols>
  <sheetData>
    <row r="1" spans="1:2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</row>
    <row r="4" spans="1:24" x14ac:dyDescent="0.25">
      <c r="A4">
        <v>1235</v>
      </c>
      <c r="B4" s="1" t="s">
        <v>26</v>
      </c>
      <c r="C4" s="2">
        <v>46189</v>
      </c>
      <c r="D4" s="1" t="s">
        <v>27</v>
      </c>
      <c r="E4">
        <v>10</v>
      </c>
      <c r="F4" s="1" t="s">
        <v>28</v>
      </c>
      <c r="G4" s="1" t="s">
        <v>29</v>
      </c>
      <c r="H4">
        <v>80</v>
      </c>
      <c r="I4">
        <v>76.88</v>
      </c>
      <c r="J4">
        <v>615.04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>
        <v>549.14</v>
      </c>
      <c r="Q4">
        <v>6</v>
      </c>
      <c r="R4">
        <v>32.948999999999998</v>
      </c>
      <c r="S4">
        <v>6</v>
      </c>
      <c r="T4">
        <v>32.948999999999998</v>
      </c>
      <c r="U4">
        <v>252.64</v>
      </c>
      <c r="V4">
        <v>0</v>
      </c>
      <c r="W4" s="1" t="s">
        <v>35</v>
      </c>
      <c r="X4" s="1" t="s">
        <v>36</v>
      </c>
    </row>
    <row r="5" spans="1:24" x14ac:dyDescent="0.25">
      <c r="A5">
        <v>1235</v>
      </c>
      <c r="B5" s="1" t="s">
        <v>26</v>
      </c>
      <c r="C5" s="2">
        <v>46189</v>
      </c>
      <c r="D5" s="1" t="s">
        <v>37</v>
      </c>
      <c r="E5">
        <v>15</v>
      </c>
      <c r="F5" s="1" t="s">
        <v>38</v>
      </c>
      <c r="G5" s="1" t="s">
        <v>39</v>
      </c>
      <c r="H5">
        <v>15</v>
      </c>
      <c r="I5">
        <v>220.35</v>
      </c>
      <c r="J5">
        <v>220.35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>
        <v>209.86</v>
      </c>
      <c r="Q5">
        <v>2.5</v>
      </c>
      <c r="R5">
        <v>5.2460000000000004</v>
      </c>
      <c r="S5">
        <v>2.5</v>
      </c>
      <c r="T5">
        <v>5.2460000000000004</v>
      </c>
      <c r="U5">
        <v>170.99</v>
      </c>
      <c r="V5">
        <v>0</v>
      </c>
      <c r="W5" s="1" t="s">
        <v>40</v>
      </c>
      <c r="X5" s="1" t="s">
        <v>41</v>
      </c>
    </row>
    <row r="6" spans="1:24" x14ac:dyDescent="0.25">
      <c r="A6">
        <v>1235</v>
      </c>
      <c r="B6" s="1" t="s">
        <v>26</v>
      </c>
      <c r="C6" s="2">
        <v>46189</v>
      </c>
      <c r="D6" s="1" t="s">
        <v>42</v>
      </c>
      <c r="E6">
        <v>10</v>
      </c>
      <c r="F6" s="1" t="s">
        <v>43</v>
      </c>
      <c r="G6" s="1" t="s">
        <v>44</v>
      </c>
      <c r="H6">
        <v>10</v>
      </c>
      <c r="I6">
        <v>97.5</v>
      </c>
      <c r="J6">
        <v>97.5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>
        <v>87.05</v>
      </c>
      <c r="Q6">
        <v>6</v>
      </c>
      <c r="R6">
        <v>5.2229999999999999</v>
      </c>
      <c r="S6">
        <v>6</v>
      </c>
      <c r="T6">
        <v>5.2229999999999999</v>
      </c>
      <c r="U6">
        <v>29.32</v>
      </c>
      <c r="V6">
        <v>0</v>
      </c>
      <c r="W6" s="1" t="s">
        <v>45</v>
      </c>
      <c r="X6" s="1" t="s">
        <v>46</v>
      </c>
    </row>
    <row r="7" spans="1:24" x14ac:dyDescent="0.25">
      <c r="A7">
        <v>1235</v>
      </c>
      <c r="B7" s="1" t="s">
        <v>26</v>
      </c>
      <c r="C7" s="2">
        <v>46189</v>
      </c>
      <c r="D7" s="1" t="s">
        <v>47</v>
      </c>
      <c r="E7">
        <v>1</v>
      </c>
      <c r="F7" s="1" t="s">
        <v>48</v>
      </c>
      <c r="G7" s="1" t="s">
        <v>49</v>
      </c>
      <c r="H7">
        <v>1</v>
      </c>
      <c r="I7">
        <v>102.52</v>
      </c>
      <c r="J7">
        <v>102.52</v>
      </c>
      <c r="K7" s="1" t="s">
        <v>30</v>
      </c>
      <c r="L7" s="1" t="s">
        <v>31</v>
      </c>
      <c r="M7" s="1" t="s">
        <v>32</v>
      </c>
      <c r="N7" s="1" t="s">
        <v>33</v>
      </c>
      <c r="O7" s="1" t="s">
        <v>34</v>
      </c>
      <c r="P7">
        <v>97.64</v>
      </c>
      <c r="Q7">
        <v>2.5</v>
      </c>
      <c r="R7">
        <v>2.4409999999999998</v>
      </c>
      <c r="S7">
        <v>2.5</v>
      </c>
      <c r="T7">
        <v>2.4409999999999998</v>
      </c>
      <c r="U7">
        <v>65.63</v>
      </c>
      <c r="V7">
        <v>0</v>
      </c>
      <c r="W7" s="1" t="s">
        <v>50</v>
      </c>
      <c r="X7" s="1" t="s">
        <v>36</v>
      </c>
    </row>
    <row r="8" spans="1:24" x14ac:dyDescent="0.25">
      <c r="A8">
        <v>1235</v>
      </c>
      <c r="B8" s="1" t="s">
        <v>26</v>
      </c>
      <c r="C8" s="2">
        <v>46189</v>
      </c>
      <c r="D8" s="1" t="s">
        <v>47</v>
      </c>
      <c r="E8">
        <v>1</v>
      </c>
      <c r="F8" s="1" t="s">
        <v>48</v>
      </c>
      <c r="G8" s="1" t="s">
        <v>49</v>
      </c>
      <c r="H8">
        <v>1</v>
      </c>
      <c r="I8">
        <v>102.52</v>
      </c>
      <c r="J8">
        <v>102.52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>
        <v>97.64</v>
      </c>
      <c r="Q8">
        <v>2.5</v>
      </c>
      <c r="R8">
        <v>2.4409999999999998</v>
      </c>
      <c r="S8">
        <v>2.5</v>
      </c>
      <c r="T8">
        <v>2.4409999999999998</v>
      </c>
      <c r="U8">
        <v>65.64</v>
      </c>
      <c r="V8">
        <v>0</v>
      </c>
      <c r="W8" s="1" t="s">
        <v>51</v>
      </c>
      <c r="X8" s="1" t="s">
        <v>52</v>
      </c>
    </row>
    <row r="9" spans="1:24" x14ac:dyDescent="0.25">
      <c r="A9">
        <v>1235</v>
      </c>
      <c r="B9" s="1" t="s">
        <v>26</v>
      </c>
      <c r="C9" s="2">
        <v>46189</v>
      </c>
      <c r="D9" s="1" t="s">
        <v>47</v>
      </c>
      <c r="E9">
        <v>1</v>
      </c>
      <c r="F9" s="1" t="s">
        <v>48</v>
      </c>
      <c r="G9" s="1" t="s">
        <v>49</v>
      </c>
      <c r="H9">
        <v>1</v>
      </c>
      <c r="I9">
        <v>102.52</v>
      </c>
      <c r="J9">
        <v>102.52</v>
      </c>
      <c r="K9" s="1" t="s">
        <v>30</v>
      </c>
      <c r="L9" s="1" t="s">
        <v>31</v>
      </c>
      <c r="M9" s="1" t="s">
        <v>32</v>
      </c>
      <c r="N9" s="1" t="s">
        <v>33</v>
      </c>
      <c r="O9" s="1" t="s">
        <v>34</v>
      </c>
      <c r="P9">
        <v>97.64</v>
      </c>
      <c r="Q9">
        <v>2.5</v>
      </c>
      <c r="R9">
        <v>2.4409999999999998</v>
      </c>
      <c r="S9">
        <v>2.5</v>
      </c>
      <c r="T9">
        <v>2.4409999999999998</v>
      </c>
      <c r="U9">
        <v>75.44</v>
      </c>
      <c r="V9">
        <v>0</v>
      </c>
      <c r="W9" s="1" t="s">
        <v>53</v>
      </c>
      <c r="X9" s="1" t="s">
        <v>54</v>
      </c>
    </row>
    <row r="11" spans="1:24" x14ac:dyDescent="0.25">
      <c r="I11" t="s">
        <v>55</v>
      </c>
      <c r="J11">
        <f>SUM(J4:J9)</f>
        <v>1240.45</v>
      </c>
      <c r="M11">
        <f>SUM(M4:M9)</f>
        <v>0</v>
      </c>
      <c r="O11">
        <f>SUM(O4:O9)</f>
        <v>0</v>
      </c>
      <c r="Q11">
        <f>SUM(Q4:Q9)</f>
        <v>22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2026-09-21T06:42:00Z</dcterms:created>
  <dcterms:modified xsi:type="dcterms:W3CDTF">2026-09-21T06:42:22Z</dcterms:modified>
</cp:coreProperties>
</file>