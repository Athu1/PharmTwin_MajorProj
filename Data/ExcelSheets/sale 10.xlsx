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O15" i="1"/>
  <c r="M15" i="1"/>
  <c r="J15" i="1"/>
</calcChain>
</file>

<file path=xl/sharedStrings.xml><?xml version="1.0" encoding="utf-8"?>
<sst xmlns="http://schemas.openxmlformats.org/spreadsheetml/2006/main" count="137" uniqueCount="62">
  <si>
    <t>Customer wise sales Report                 &lt;CTRL + F5&gt; Set Order            &lt;END&gt; SEARCH</t>
  </si>
  <si>
    <t>SANDHYA RAJENDRA SALUNKHE SECTOR 2, NERUL;DATTATRY from 01/07/2026 to 21/09/2026</t>
  </si>
  <si>
    <t>Vou.No.</t>
  </si>
  <si>
    <t>Type</t>
  </si>
  <si>
    <t>Date</t>
  </si>
  <si>
    <t>Product</t>
  </si>
  <si>
    <t>Unit</t>
  </si>
  <si>
    <t>Pack</t>
  </si>
  <si>
    <t>Comp.</t>
  </si>
  <si>
    <t>Qty.</t>
  </si>
  <si>
    <t>Rate</t>
  </si>
  <si>
    <t>Amount</t>
  </si>
  <si>
    <t>Doct Name</t>
  </si>
  <si>
    <t>Doct Add</t>
  </si>
  <si>
    <t>Pat Name</t>
  </si>
  <si>
    <t>Pat Add</t>
  </si>
  <si>
    <t>Mobile</t>
  </si>
  <si>
    <t>Taxable Amt</t>
  </si>
  <si>
    <t>Sgst%</t>
  </si>
  <si>
    <t>Sgstamt</t>
  </si>
  <si>
    <t>Cgst %</t>
  </si>
  <si>
    <t>Cgstamt</t>
  </si>
  <si>
    <t>NP Rate</t>
  </si>
  <si>
    <t>Pr</t>
  </si>
  <si>
    <t>Batch</t>
  </si>
  <si>
    <t>Expiry</t>
  </si>
  <si>
    <t xml:space="preserve">CASH           </t>
  </si>
  <si>
    <t xml:space="preserve">GLIMISAVE MV1 TAB             </t>
  </si>
  <si>
    <t xml:space="preserve">15    </t>
  </si>
  <si>
    <t xml:space="preserve">     </t>
  </si>
  <si>
    <t xml:space="preserve">DR.ANITA R.SOANS (M.D.)                 </t>
  </si>
  <si>
    <t xml:space="preserve">NERUL                                                       </t>
  </si>
  <si>
    <t xml:space="preserve">SANDHYA RAJENDRA SALUNKHE                                   </t>
  </si>
  <si>
    <t xml:space="preserve">SECTOR 2, NERUL;DATTATRY                                    </t>
  </si>
  <si>
    <t xml:space="preserve">          </t>
  </si>
  <si>
    <t xml:space="preserve">AGMA25001      </t>
  </si>
  <si>
    <t>02/28</t>
  </si>
  <si>
    <t xml:space="preserve">TELMIKIND AMH TAB             </t>
  </si>
  <si>
    <t xml:space="preserve">TAB   </t>
  </si>
  <si>
    <t xml:space="preserve">C95Z001        </t>
  </si>
  <si>
    <t>01/28</t>
  </si>
  <si>
    <t xml:space="preserve">C95Z005        </t>
  </si>
  <si>
    <t xml:space="preserve">C95Z004        </t>
  </si>
  <si>
    <t xml:space="preserve">PAN 40*                       </t>
  </si>
  <si>
    <t>15 TAB</t>
  </si>
  <si>
    <t xml:space="preserve">ALK  </t>
  </si>
  <si>
    <t xml:space="preserve">DR.KRISHANA GHADAGE(BAMS)               </t>
  </si>
  <si>
    <t xml:space="preserve">NERUL;DATTATRAY COMPLEX;SECTOR                              </t>
  </si>
  <si>
    <t xml:space="preserve">26440857       </t>
  </si>
  <si>
    <t>08/28</t>
  </si>
  <si>
    <t xml:space="preserve">GEMCAL D3 TAB                 </t>
  </si>
  <si>
    <t xml:space="preserve">26440612       </t>
  </si>
  <si>
    <t xml:space="preserve">A TO Z NS TABLET              </t>
  </si>
  <si>
    <t>15 CAP</t>
  </si>
  <si>
    <t xml:space="preserve">26490159       </t>
  </si>
  <si>
    <t>07/27</t>
  </si>
  <si>
    <t xml:space="preserve">FOLVITE TABS                  </t>
  </si>
  <si>
    <t xml:space="preserve">45S   </t>
  </si>
  <si>
    <t xml:space="preserve">WYT  </t>
  </si>
  <si>
    <t xml:space="preserve">NR0178         </t>
  </si>
  <si>
    <t>06/27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</si>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</sst>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showZeros="0" tabSelected="1" workbookViewId="0"/>
  </sheetViews>
  <sheetFormatPr defaultRowHeight="15" x14ac:dyDescent="0.25"/>
  <cols>
    <col min="1" max="1" width="8.28515625" bestFit="1" customWidth="1"/>
    <col min="2" max="2" width="10.42578125" bestFit="1" customWidth="1"/>
    <col min="3" max="3" width="8.85546875" bestFit="1" customWidth="1"/>
    <col min="4" max="4" width="25.140625" bestFit="1" customWidth="1"/>
    <col min="5" max="5" width="4.7109375" bestFit="1" customWidth="1"/>
    <col min="6" max="6" width="7" bestFit="1" customWidth="1"/>
    <col min="7" max="7" width="6.7109375" bestFit="1" customWidth="1"/>
    <col min="8" max="8" width="4.7109375" bestFit="1" customWidth="1"/>
    <col min="9" max="9" width="7" bestFit="1" customWidth="1"/>
    <col min="10" max="10" width="8.140625" bestFit="1" customWidth="1"/>
    <col min="11" max="11" width="36.140625" bestFit="1" customWidth="1"/>
    <col min="12" max="12" width="47.85546875" bestFit="1" customWidth="1"/>
    <col min="13" max="13" width="45.140625" bestFit="1" customWidth="1"/>
    <col min="14" max="14" width="41.85546875" bestFit="1" customWidth="1"/>
    <col min="15" max="15" width="7.28515625" bestFit="1" customWidth="1"/>
    <col min="16" max="16" width="12" bestFit="1" customWidth="1"/>
    <col min="17" max="17" width="6.140625" bestFit="1" customWidth="1"/>
    <col min="18" max="18" width="8" bestFit="1" customWidth="1"/>
    <col min="19" max="19" width="6.7109375" bestFit="1" customWidth="1"/>
    <col min="20" max="20" width="8.140625" bestFit="1" customWidth="1"/>
    <col min="21" max="21" width="8" bestFit="1" customWidth="1"/>
    <col min="22" max="22" width="2.85546875" bestFit="1" customWidth="1"/>
    <col min="23" max="23" width="14.28515625" bestFit="1" customWidth="1"/>
    <col min="24" max="24" width="6.42578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x14ac:dyDescent="0.25">
      <c r="A4">
        <v>1563</v>
      </c>
      <c r="B4" s="1" t="s">
        <v>26</v>
      </c>
      <c r="C4" s="2">
        <v>46204</v>
      </c>
      <c r="D4" s="1" t="s">
        <v>27</v>
      </c>
      <c r="E4">
        <v>1</v>
      </c>
      <c r="F4" s="1" t="s">
        <v>28</v>
      </c>
      <c r="G4" s="1" t="s">
        <v>29</v>
      </c>
      <c r="H4">
        <v>6</v>
      </c>
      <c r="I4">
        <v>252.75</v>
      </c>
      <c r="J4">
        <v>1516.5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>
        <v>1444.29</v>
      </c>
      <c r="Q4">
        <v>2.5</v>
      </c>
      <c r="R4">
        <v>36.106999999999999</v>
      </c>
      <c r="S4">
        <v>2.5</v>
      </c>
      <c r="T4">
        <v>36.106999999999999</v>
      </c>
      <c r="U4">
        <v>1255.2</v>
      </c>
      <c r="V4">
        <v>0</v>
      </c>
      <c r="W4" s="1" t="s">
        <v>35</v>
      </c>
      <c r="X4" s="1" t="s">
        <v>36</v>
      </c>
    </row>
    <row r="5" spans="1:24" x14ac:dyDescent="0.25">
      <c r="A5">
        <v>1563</v>
      </c>
      <c r="B5" s="1" t="s">
        <v>26</v>
      </c>
      <c r="C5" s="2">
        <v>46204</v>
      </c>
      <c r="D5" s="1" t="s">
        <v>27</v>
      </c>
      <c r="E5">
        <v>1</v>
      </c>
      <c r="F5" s="1" t="s">
        <v>28</v>
      </c>
      <c r="G5" s="1" t="s">
        <v>29</v>
      </c>
      <c r="H5">
        <v>5</v>
      </c>
      <c r="I5">
        <v>252.75</v>
      </c>
      <c r="J5">
        <v>1263.75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>
        <v>1203.57</v>
      </c>
      <c r="Q5">
        <v>2.5</v>
      </c>
      <c r="R5">
        <v>30.088999999999999</v>
      </c>
      <c r="S5">
        <v>2.5</v>
      </c>
      <c r="T5">
        <v>30.088999999999999</v>
      </c>
      <c r="U5">
        <v>1056.8499999999999</v>
      </c>
      <c r="V5">
        <v>0</v>
      </c>
      <c r="W5" s="1" t="s">
        <v>35</v>
      </c>
      <c r="X5" s="1" t="s">
        <v>36</v>
      </c>
    </row>
    <row r="6" spans="1:24" x14ac:dyDescent="0.25">
      <c r="A6">
        <v>1563</v>
      </c>
      <c r="B6" s="1" t="s">
        <v>26</v>
      </c>
      <c r="C6" s="2">
        <v>46204</v>
      </c>
      <c r="D6" s="1" t="s">
        <v>27</v>
      </c>
      <c r="E6">
        <v>1</v>
      </c>
      <c r="F6" s="1" t="s">
        <v>28</v>
      </c>
      <c r="G6" s="1" t="s">
        <v>29</v>
      </c>
      <c r="H6">
        <v>1</v>
      </c>
      <c r="I6">
        <v>252.75</v>
      </c>
      <c r="J6">
        <v>252.75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>
        <v>240.71</v>
      </c>
      <c r="Q6">
        <v>2.5</v>
      </c>
      <c r="R6">
        <v>6.0179999999999998</v>
      </c>
      <c r="S6">
        <v>2.5</v>
      </c>
      <c r="T6">
        <v>6.0179999999999998</v>
      </c>
      <c r="U6">
        <v>209.21</v>
      </c>
      <c r="V6">
        <v>0</v>
      </c>
      <c r="W6" s="1" t="s">
        <v>35</v>
      </c>
      <c r="X6" s="1" t="s">
        <v>36</v>
      </c>
    </row>
    <row r="7" spans="1:24" x14ac:dyDescent="0.25">
      <c r="A7">
        <v>1563</v>
      </c>
      <c r="B7" s="1" t="s">
        <v>26</v>
      </c>
      <c r="C7" s="2">
        <v>46204</v>
      </c>
      <c r="D7" s="1" t="s">
        <v>37</v>
      </c>
      <c r="E7">
        <v>10</v>
      </c>
      <c r="F7" s="1" t="s">
        <v>38</v>
      </c>
      <c r="G7" s="1" t="s">
        <v>29</v>
      </c>
      <c r="H7">
        <v>60</v>
      </c>
      <c r="I7">
        <v>118.53</v>
      </c>
      <c r="J7">
        <v>711.18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>
        <v>677.31</v>
      </c>
      <c r="Q7">
        <v>2.5</v>
      </c>
      <c r="R7">
        <v>16.933</v>
      </c>
      <c r="S7">
        <v>2.5</v>
      </c>
      <c r="T7">
        <v>16.933</v>
      </c>
      <c r="U7">
        <v>551.88</v>
      </c>
      <c r="V7">
        <v>0</v>
      </c>
      <c r="W7" s="1" t="s">
        <v>39</v>
      </c>
      <c r="X7" s="1" t="s">
        <v>40</v>
      </c>
    </row>
    <row r="8" spans="1:24" x14ac:dyDescent="0.25">
      <c r="A8">
        <v>1563</v>
      </c>
      <c r="B8" s="1" t="s">
        <v>26</v>
      </c>
      <c r="C8" s="2">
        <v>46204</v>
      </c>
      <c r="D8" s="1" t="s">
        <v>37</v>
      </c>
      <c r="E8">
        <v>10</v>
      </c>
      <c r="F8" s="1" t="s">
        <v>38</v>
      </c>
      <c r="G8" s="1" t="s">
        <v>29</v>
      </c>
      <c r="H8">
        <v>20</v>
      </c>
      <c r="I8">
        <v>118.53</v>
      </c>
      <c r="J8">
        <v>237.06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>
        <v>225.77</v>
      </c>
      <c r="Q8">
        <v>2.5</v>
      </c>
      <c r="R8">
        <v>5.6440000000000001</v>
      </c>
      <c r="S8">
        <v>2.5</v>
      </c>
      <c r="T8">
        <v>5.6440000000000001</v>
      </c>
      <c r="U8">
        <v>183.96</v>
      </c>
      <c r="V8">
        <v>0</v>
      </c>
      <c r="W8" s="1" t="s">
        <v>41</v>
      </c>
      <c r="X8" s="1" t="s">
        <v>40</v>
      </c>
    </row>
    <row r="9" spans="1:24" x14ac:dyDescent="0.25">
      <c r="A9">
        <v>1563</v>
      </c>
      <c r="B9" s="1" t="s">
        <v>26</v>
      </c>
      <c r="C9" s="2">
        <v>46204</v>
      </c>
      <c r="D9" s="1" t="s">
        <v>37</v>
      </c>
      <c r="E9">
        <v>10</v>
      </c>
      <c r="F9" s="1" t="s">
        <v>38</v>
      </c>
      <c r="G9" s="1" t="s">
        <v>29</v>
      </c>
      <c r="H9">
        <v>10</v>
      </c>
      <c r="I9">
        <v>118.53</v>
      </c>
      <c r="J9">
        <v>118.53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>
        <v>112.89</v>
      </c>
      <c r="Q9">
        <v>2.5</v>
      </c>
      <c r="R9">
        <v>2.8220000000000001</v>
      </c>
      <c r="S9">
        <v>2.5</v>
      </c>
      <c r="T9">
        <v>2.8220000000000001</v>
      </c>
      <c r="U9">
        <v>91.98</v>
      </c>
      <c r="V9">
        <v>0</v>
      </c>
      <c r="W9" s="1" t="s">
        <v>42</v>
      </c>
      <c r="X9" s="1" t="s">
        <v>40</v>
      </c>
    </row>
    <row r="10" spans="1:24" x14ac:dyDescent="0.25">
      <c r="A10">
        <v>1658</v>
      </c>
      <c r="B10" s="1" t="s">
        <v>26</v>
      </c>
      <c r="C10" s="2">
        <v>46212</v>
      </c>
      <c r="D10" s="1" t="s">
        <v>43</v>
      </c>
      <c r="E10">
        <v>15</v>
      </c>
      <c r="F10" s="1" t="s">
        <v>44</v>
      </c>
      <c r="G10" s="1" t="s">
        <v>45</v>
      </c>
      <c r="H10">
        <v>15</v>
      </c>
      <c r="I10">
        <v>192.8</v>
      </c>
      <c r="J10">
        <v>192.8</v>
      </c>
      <c r="K10" s="1" t="s">
        <v>46</v>
      </c>
      <c r="L10" s="1" t="s">
        <v>47</v>
      </c>
      <c r="M10" s="1" t="s">
        <v>32</v>
      </c>
      <c r="N10" s="1" t="s">
        <v>33</v>
      </c>
      <c r="O10" s="1" t="s">
        <v>34</v>
      </c>
      <c r="P10">
        <v>183.62</v>
      </c>
      <c r="Q10">
        <v>2.5</v>
      </c>
      <c r="R10">
        <v>4.5910000000000002</v>
      </c>
      <c r="S10">
        <v>2.5</v>
      </c>
      <c r="T10">
        <v>4.5910000000000002</v>
      </c>
      <c r="U10">
        <v>149.61000000000001</v>
      </c>
      <c r="V10">
        <v>0</v>
      </c>
      <c r="W10" s="1" t="s">
        <v>48</v>
      </c>
      <c r="X10" s="1" t="s">
        <v>49</v>
      </c>
    </row>
    <row r="11" spans="1:24" x14ac:dyDescent="0.25">
      <c r="A11">
        <v>1658</v>
      </c>
      <c r="B11" s="1" t="s">
        <v>26</v>
      </c>
      <c r="C11" s="2">
        <v>46212</v>
      </c>
      <c r="D11" s="1" t="s">
        <v>50</v>
      </c>
      <c r="E11">
        <v>15</v>
      </c>
      <c r="F11" s="1" t="s">
        <v>44</v>
      </c>
      <c r="G11" s="1" t="s">
        <v>45</v>
      </c>
      <c r="H11">
        <v>15</v>
      </c>
      <c r="I11">
        <v>223.7</v>
      </c>
      <c r="J11">
        <v>223.7</v>
      </c>
      <c r="K11" s="1" t="s">
        <v>46</v>
      </c>
      <c r="L11" s="1" t="s">
        <v>47</v>
      </c>
      <c r="M11" s="1" t="s">
        <v>32</v>
      </c>
      <c r="N11" s="1" t="s">
        <v>33</v>
      </c>
      <c r="O11" s="1" t="s">
        <v>34</v>
      </c>
      <c r="P11">
        <v>199.73</v>
      </c>
      <c r="Q11">
        <v>6</v>
      </c>
      <c r="R11">
        <v>11.984</v>
      </c>
      <c r="S11">
        <v>6</v>
      </c>
      <c r="T11">
        <v>11.984</v>
      </c>
      <c r="U11">
        <v>175.38</v>
      </c>
      <c r="V11">
        <v>0</v>
      </c>
      <c r="W11" s="1" t="s">
        <v>51</v>
      </c>
      <c r="X11" s="1" t="s">
        <v>40</v>
      </c>
    </row>
    <row r="12" spans="1:24" x14ac:dyDescent="0.25">
      <c r="A12">
        <v>1658</v>
      </c>
      <c r="B12" s="1" t="s">
        <v>26</v>
      </c>
      <c r="C12" s="2">
        <v>46212</v>
      </c>
      <c r="D12" s="1" t="s">
        <v>52</v>
      </c>
      <c r="E12">
        <v>15</v>
      </c>
      <c r="F12" s="1" t="s">
        <v>53</v>
      </c>
      <c r="G12" s="1" t="s">
        <v>29</v>
      </c>
      <c r="H12">
        <v>15</v>
      </c>
      <c r="I12">
        <v>190</v>
      </c>
      <c r="J12">
        <v>190</v>
      </c>
      <c r="K12" s="1" t="s">
        <v>46</v>
      </c>
      <c r="L12" s="1" t="s">
        <v>47</v>
      </c>
      <c r="M12" s="1" t="s">
        <v>32</v>
      </c>
      <c r="N12" s="1" t="s">
        <v>33</v>
      </c>
      <c r="O12" s="1" t="s">
        <v>34</v>
      </c>
      <c r="P12">
        <v>180.95</v>
      </c>
      <c r="Q12">
        <v>2.5</v>
      </c>
      <c r="R12">
        <v>4.524</v>
      </c>
      <c r="S12">
        <v>2.5</v>
      </c>
      <c r="T12">
        <v>4.524</v>
      </c>
      <c r="U12">
        <v>132.69</v>
      </c>
      <c r="V12">
        <v>0</v>
      </c>
      <c r="W12" s="1" t="s">
        <v>54</v>
      </c>
      <c r="X12" s="1" t="s">
        <v>55</v>
      </c>
    </row>
    <row r="13" spans="1:24" x14ac:dyDescent="0.25">
      <c r="A13">
        <v>1658</v>
      </c>
      <c r="B13" s="1" t="s">
        <v>26</v>
      </c>
      <c r="C13" s="2">
        <v>46212</v>
      </c>
      <c r="D13" s="1" t="s">
        <v>56</v>
      </c>
      <c r="E13">
        <v>45</v>
      </c>
      <c r="F13" s="1" t="s">
        <v>57</v>
      </c>
      <c r="G13" s="1" t="s">
        <v>58</v>
      </c>
      <c r="H13">
        <v>45</v>
      </c>
      <c r="I13">
        <v>72.58</v>
      </c>
      <c r="J13">
        <v>72.58</v>
      </c>
      <c r="K13" s="1" t="s">
        <v>46</v>
      </c>
      <c r="L13" s="1" t="s">
        <v>47</v>
      </c>
      <c r="M13" s="1" t="s">
        <v>32</v>
      </c>
      <c r="N13" s="1" t="s">
        <v>33</v>
      </c>
      <c r="O13" s="1" t="s">
        <v>34</v>
      </c>
      <c r="P13">
        <v>69.12</v>
      </c>
      <c r="Q13">
        <v>2.5</v>
      </c>
      <c r="R13">
        <v>1.728</v>
      </c>
      <c r="S13">
        <v>2.5</v>
      </c>
      <c r="T13">
        <v>1.728</v>
      </c>
      <c r="U13">
        <v>59.46</v>
      </c>
      <c r="V13">
        <v>0</v>
      </c>
      <c r="W13" s="1" t="s">
        <v>59</v>
      </c>
      <c r="X13" s="1" t="s">
        <v>60</v>
      </c>
    </row>
    <row r="15" spans="1:24" x14ac:dyDescent="0.25">
      <c r="I15" t="s">
        <v>61</v>
      </c>
      <c r="J15">
        <f>SUM(J4:J13)</f>
        <v>4778.8499999999995</v>
      </c>
      <c r="M15">
        <f>SUM(M4:M13)</f>
        <v>0</v>
      </c>
      <c r="O15">
        <f>SUM(O4:O13)</f>
        <v>0</v>
      </c>
      <c r="Q15">
        <f>SUM(Q4:Q13)</f>
        <v>28.5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2026-09-21T07:07:43Z</dcterms:created>
  <dcterms:modified xsi:type="dcterms:W3CDTF">2026-09-21T07:08:04Z</dcterms:modified>
</cp:coreProperties>
</file>